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Orçamentos" sheetId="3" state="visible" r:id="rId3"/>
    <sheet xmlns:r="http://schemas.openxmlformats.org/officeDocument/2006/relationships" name="Custo por sessão" sheetId="4" state="visible" r:id="rId4"/>
    <sheet xmlns:r="http://schemas.openxmlformats.org/officeDocument/2006/relationships" name="Pontuação" sheetId="5" state="visible" r:id="rId5"/>
    <sheet xmlns:r="http://schemas.openxmlformats.org/officeDocument/2006/relationships" name="Fornecedor" sheetId="6" state="visible" r:id="rId6"/>
    <sheet xmlns:r="http://schemas.openxmlformats.org/officeDocument/2006/relationships" name="Evidê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B5C4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9AA7A3"/>
      </left>
      <right style="thin">
        <color rgb="009AA7A3"/>
      </right>
      <top style="thin">
        <color rgb="009AA7A3"/>
      </top>
      <bottom style="thin">
        <color rgb="009AA7A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Comparativo de preenchedores de ácido hialurônico (AH)</t>
        </is>
      </c>
    </row>
    <row r="2">
      <c r="A2" s="2" t="inlineStr">
        <is>
          <t>Ferramenta de decisão para o farmacêutico responsável. Células amarelas = você preenche.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1) Aba Produtos: confira o registro ANVISA de cada linha (base de produtos para saúde) e a duração informada na bula.</t>
        </is>
      </c>
    </row>
    <row r="6">
      <c r="A6" s="2" t="inlineStr">
        <is>
          <t>2) Aba Orçamentos: registre as cotações de distribuidores autorizados. O preço por mL é calculado automaticamente.</t>
        </is>
      </c>
    </row>
    <row r="7">
      <c r="A7" s="2" t="inlineStr">
        <is>
          <t>3) Aba Pontuação: dê notas de 0 a 5 e ajuste os pesos; o ranking é calculado.</t>
        </is>
      </c>
    </row>
    <row r="8">
      <c r="A8" s="2" t="inlineStr">
        <is>
          <t>4) Aba Fornecedor: checklist para validar procedência antes de comprar.</t>
        </is>
      </c>
    </row>
    <row r="9">
      <c r="A9" s="2" t="inlineStr">
        <is>
          <t>5) Aba Evidência: resumo do que foi encontrado na pesquisa e sua confiança.</t>
        </is>
      </c>
    </row>
    <row r="10">
      <c r="A10" s="2" t="inlineStr"/>
    </row>
    <row r="11">
      <c r="A11" s="3" t="inlineStr">
        <is>
          <t>Limites importantes</t>
        </is>
      </c>
    </row>
    <row r="12">
      <c r="A12" s="2" t="inlineStr">
        <is>
          <t>- Não há ensaio rigoroso que compare todas as marcas entre si. As durações de blogs/guias comerciais têm baixa confiança.</t>
        </is>
      </c>
    </row>
    <row r="13">
      <c r="A13" s="2" t="inlineStr">
        <is>
          <t>- Nenhum preço, registro ANVISA ou duração foi inventado: o que não foi verificado está em branco ou marcado [VALIDAR].</t>
        </is>
      </c>
    </row>
    <row r="14">
      <c r="A14" s="2" t="inlineStr">
        <is>
          <t>- Preenchimento com AH é o centro da disputa jurídica CFM x CFF. Não comprar estoque nem anunciar antes de resposta escrita do CRF-SP.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0" customWidth="1" min="4" max="4"/>
    <col width="18" customWidth="1" min="5" max="5"/>
    <col width="20" customWidth="1" min="6" max="6"/>
    <col width="24" customWidth="1" min="7" max="7"/>
    <col width="48" customWidth="1" min="8" max="8"/>
    <col width="14" customWidth="1" min="9" max="9"/>
    <col width="32" customWidth="1" min="10" max="10"/>
  </cols>
  <sheetData>
    <row r="1" ht="34" customHeight="1">
      <c r="A1" s="4" t="inlineStr">
        <is>
          <t>Marca</t>
        </is>
      </c>
      <c r="B1" s="4" t="inlineStr">
        <is>
          <t>Fabricante</t>
        </is>
      </c>
      <c r="C1" s="4" t="inlineStr">
        <is>
          <t>Linha / produto</t>
        </is>
      </c>
      <c r="D1" s="4" t="inlineStr">
        <is>
          <t>Indicação típica (confirmar na bula)</t>
        </is>
      </c>
      <c r="E1" s="4" t="inlineStr">
        <is>
          <t>Tecnologia citada</t>
        </is>
      </c>
      <c r="F1" s="4" t="inlineStr">
        <is>
          <t>Registro ANVISA nº</t>
        </is>
      </c>
      <c r="G1" s="4" t="inlineStr">
        <is>
          <t>Duração informada (bula/fabricante)</t>
        </is>
      </c>
      <c r="H1" s="4" t="inlineStr">
        <is>
          <t>Evidência clínica identificada</t>
        </is>
      </c>
      <c r="I1" s="4" t="inlineStr">
        <is>
          <t>Confiança da evidência</t>
        </is>
      </c>
      <c r="J1" s="4" t="inlineStr">
        <is>
          <t>Observações</t>
        </is>
      </c>
    </row>
    <row r="2">
      <c r="A2" s="5" t="inlineStr">
        <is>
          <t>Juvéderm</t>
        </is>
      </c>
      <c r="B2" s="5" t="inlineStr">
        <is>
          <t>Allergan (AbbVie)</t>
        </is>
      </c>
      <c r="C2" s="5" t="inlineStr">
        <is>
          <t>Voluma XC</t>
        </is>
      </c>
      <c r="D2" s="5" t="inlineStr">
        <is>
          <t>Volume/projeção de bochecha (confirmar)</t>
        </is>
      </c>
      <c r="E2" s="5" t="inlineStr">
        <is>
          <t>Vycross</t>
        </is>
      </c>
      <c r="F2" s="6" t="inlineStr"/>
      <c r="G2" s="6" t="inlineStr"/>
      <c r="H2" s="5" t="inlineStr">
        <is>
          <t>Estudo split-face 2 anos: 66% do volume mantido vs semana 4 (comparado ao Belotero Volume 81%)</t>
        </is>
      </c>
      <c r="I2" s="5" t="inlineStr">
        <is>
          <t>Moderada</t>
        </is>
      </c>
      <c r="J2" s="5" t="inlineStr">
        <is>
          <t>[VALIDAR] bula</t>
        </is>
      </c>
    </row>
    <row r="3">
      <c r="A3" s="5" t="inlineStr">
        <is>
          <t>Juvéderm</t>
        </is>
      </c>
      <c r="B3" s="5" t="inlineStr">
        <is>
          <t>Allergan (AbbVie)</t>
        </is>
      </c>
      <c r="C3" s="5" t="inlineStr">
        <is>
          <t>Volbella / Volift / Volux</t>
        </is>
      </c>
      <c r="D3" s="5" t="inlineStr">
        <is>
          <t>Lábios, sulcos, mandíbula (confirmar linha)</t>
        </is>
      </c>
      <c r="E3" s="5" t="inlineStr">
        <is>
          <t>Vycross</t>
        </is>
      </c>
      <c r="F3" s="6" t="inlineStr"/>
      <c r="G3" s="6" t="inlineStr"/>
      <c r="H3" s="5" t="inlineStr">
        <is>
          <t>RHA/Teosyal foi não inferior ao Juvéderm em sulcos (ensaio RHA vs Juvéderm)</t>
        </is>
      </c>
      <c r="I3" s="5" t="inlineStr">
        <is>
          <t>Moderada</t>
        </is>
      </c>
      <c r="J3" s="5" t="inlineStr">
        <is>
          <t>[VALIDAR] qual linha possui registro</t>
        </is>
      </c>
    </row>
    <row r="4">
      <c r="A4" s="5" t="inlineStr">
        <is>
          <t>Restylane</t>
        </is>
      </c>
      <c r="B4" s="5" t="inlineStr">
        <is>
          <t>Galderma</t>
        </is>
      </c>
      <c r="C4" s="5" t="inlineStr">
        <is>
          <t>Lyft / Kysse / Defyne / Volyme (confirmar)</t>
        </is>
      </c>
      <c r="D4" s="5" t="inlineStr">
        <is>
          <t>Volume, lábios, sulcos (confirmar linha)</t>
        </is>
      </c>
      <c r="E4" s="5" t="inlineStr">
        <is>
          <t>NASHA / OBT</t>
        </is>
      </c>
      <c r="F4" s="6" t="inlineStr"/>
      <c r="G4" s="6" t="inlineStr"/>
      <c r="H4" s="5" t="inlineStr">
        <is>
          <t>Comparação pequena com Juvéderm sem diferença clara em durabilidade</t>
        </is>
      </c>
      <c r="I4" s="5" t="inlineStr">
        <is>
          <t>Baixa</t>
        </is>
      </c>
      <c r="J4" s="5" t="inlineStr">
        <is>
          <t>Restylane SubQ: ~50% do volume em 2 anos no estudo de bochecha</t>
        </is>
      </c>
    </row>
    <row r="5">
      <c r="A5" s="5" t="inlineStr">
        <is>
          <t>Belotero</t>
        </is>
      </c>
      <c r="B5" s="5" t="inlineStr">
        <is>
          <t>Merz</t>
        </is>
      </c>
      <c r="C5" s="5" t="inlineStr">
        <is>
          <t>Balance / Volume / Intense (confirmar)</t>
        </is>
      </c>
      <c r="D5" s="5" t="inlineStr">
        <is>
          <t>Linhas finas, sulcos, volume (confirmar linha)</t>
        </is>
      </c>
      <c r="E5" s="5" t="inlineStr">
        <is>
          <t>Reticulação com BDDE (CPM)</t>
        </is>
      </c>
      <c r="F5" s="6" t="inlineStr"/>
      <c r="G5" s="6" t="inlineStr"/>
      <c r="H5" s="5" t="inlineStr">
        <is>
          <t>3 ensaios randomizados: melhor que colágeno e que Restylane em sulcos até 24 semanas; Volume manteve 81% em 2 anos</t>
        </is>
      </c>
      <c r="I5" s="5" t="inlineStr">
        <is>
          <t>Moderada</t>
        </is>
      </c>
      <c r="J5" s="5" t="inlineStr">
        <is>
          <t>[VALIDAR] bula</t>
        </is>
      </c>
    </row>
    <row r="6">
      <c r="A6" s="5" t="inlineStr">
        <is>
          <t>Teosyal</t>
        </is>
      </c>
      <c r="B6" s="5" t="inlineStr">
        <is>
          <t>Teoxane</t>
        </is>
      </c>
      <c r="C6" s="5" t="inlineStr">
        <is>
          <t>RHA 2 / 3 / 4 (confirmar)</t>
        </is>
      </c>
      <c r="D6" s="5" t="inlineStr">
        <is>
          <t>Áreas dinâmicas, sulcos, lábios (confirmar)</t>
        </is>
      </c>
      <c r="E6" s="5" t="inlineStr">
        <is>
          <t>RHA</t>
        </is>
      </c>
      <c r="F6" s="6" t="inlineStr"/>
      <c r="G6" s="6" t="inlineStr"/>
      <c r="H6" s="5" t="inlineStr">
        <is>
          <t>RHA 2 e 3 não inferiores ao Juvéderm em sulcos nasolabiais</t>
        </is>
      </c>
      <c r="I6" s="5" t="inlineStr">
        <is>
          <t>Moderada</t>
        </is>
      </c>
      <c r="J6" s="5" t="inlineStr">
        <is>
          <t>[VALIDAR] registro no Brasil</t>
        </is>
      </c>
    </row>
    <row r="7">
      <c r="A7" s="5" t="inlineStr">
        <is>
          <t>Stylage</t>
        </is>
      </c>
      <c r="B7" s="5" t="inlineStr">
        <is>
          <t>Vivacy</t>
        </is>
      </c>
      <c r="C7" s="5" t="inlineStr">
        <is>
          <t>[confirmar linhas]</t>
        </is>
      </c>
      <c r="D7" s="5" t="inlineStr"/>
      <c r="E7" s="5" t="inlineStr"/>
      <c r="F7" s="6" t="inlineStr"/>
      <c r="G7" s="6" t="inlineStr"/>
      <c r="H7" s="5" t="inlineStr">
        <is>
          <t>Não encontrado na pesquisa</t>
        </is>
      </c>
      <c r="I7" s="5" t="inlineStr">
        <is>
          <t>—</t>
        </is>
      </c>
      <c r="J7" s="5" t="inlineStr">
        <is>
          <t>[VALIDAR] registro e dados</t>
        </is>
      </c>
    </row>
    <row r="8">
      <c r="A8" s="5" t="inlineStr">
        <is>
          <t>Rennova</t>
        </is>
      </c>
      <c r="B8" s="5" t="inlineStr">
        <is>
          <t>[confirmar fabricante]</t>
        </is>
      </c>
      <c r="C8" s="5" t="inlineStr">
        <is>
          <t>[confirmar linhas]</t>
        </is>
      </c>
      <c r="D8" s="5" t="inlineStr"/>
      <c r="E8" s="5" t="inlineStr"/>
      <c r="F8" s="6" t="inlineStr"/>
      <c r="G8" s="6" t="inlineStr"/>
      <c r="H8" s="5" t="inlineStr">
        <is>
          <t>Apenas tabela de clínica (6 a 9 meses, linha labial), sem fonte técnica</t>
        </is>
      </c>
      <c r="I8" s="5" t="inlineStr">
        <is>
          <t>Baixa</t>
        </is>
      </c>
      <c r="J8" s="5" t="inlineStr">
        <is>
          <t>[VALIDAR] registro e dados</t>
        </is>
      </c>
    </row>
    <row r="9">
      <c r="A9" s="5" t="inlineStr">
        <is>
          <t>Outra marca</t>
        </is>
      </c>
      <c r="B9" s="5" t="inlineStr"/>
      <c r="C9" s="5" t="inlineStr"/>
      <c r="D9" s="5" t="inlineStr"/>
      <c r="E9" s="5" t="inlineStr"/>
      <c r="F9" s="6" t="inlineStr"/>
      <c r="G9" s="6" t="inlineStr"/>
      <c r="H9" s="5" t="inlineStr"/>
      <c r="I9" s="5" t="inlineStr"/>
      <c r="J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12" customWidth="1" min="8" max="8"/>
    <col width="14" customWidth="1" min="9" max="9"/>
    <col width="22" customWidth="1" min="10" max="10"/>
    <col width="26" customWidth="1" min="11" max="11"/>
    <col width="30" customWidth="1" min="12" max="12"/>
  </cols>
  <sheetData>
    <row r="1" ht="34" customHeight="1">
      <c r="A1" s="4" t="inlineStr">
        <is>
          <t>Data</t>
        </is>
      </c>
      <c r="B1" s="4" t="inlineStr">
        <is>
          <t>Distribuidor (autorizado)</t>
        </is>
      </c>
      <c r="C1" s="4" t="inlineStr">
        <is>
          <t>Marca</t>
        </is>
      </c>
      <c r="D1" s="4" t="inlineStr">
        <is>
          <t>Linha</t>
        </is>
      </c>
      <c r="E1" s="4" t="inlineStr">
        <is>
          <t>Volume da seringa (mL)</t>
        </is>
      </c>
      <c r="F1" s="4" t="inlineStr">
        <is>
          <t>Preço por seringa (R$)</t>
        </is>
      </c>
      <c r="G1" s="4" t="inlineStr">
        <is>
          <t>Preço por mL (R$)</t>
        </is>
      </c>
      <c r="H1" s="4" t="inlineStr">
        <is>
          <t>Validade (meses)</t>
        </is>
      </c>
      <c r="I1" s="4" t="inlineStr">
        <is>
          <t>Frete/impostos incl.? (S/N)</t>
        </is>
      </c>
      <c r="J1" s="4" t="inlineStr">
        <is>
          <t>Condição de pagamento</t>
        </is>
      </c>
      <c r="K1" s="4" t="inlineStr">
        <is>
          <t>Suporte técnico/treinamento</t>
        </is>
      </c>
      <c r="L1" s="4" t="inlineStr">
        <is>
          <t>Observações</t>
        </is>
      </c>
    </row>
    <row r="2">
      <c r="A2" s="7" t="n"/>
      <c r="B2" s="6" t="n"/>
      <c r="C2" s="6" t="n"/>
      <c r="D2" s="6" t="n"/>
      <c r="E2" s="6" t="n"/>
      <c r="F2" s="8" t="n"/>
      <c r="G2" s="9">
        <f>IF(AND(ISNUMBER(E2),E2&gt;0,ISNUMBER(F2)),F2/E2,"")</f>
        <v/>
      </c>
      <c r="H2" s="6" t="n"/>
      <c r="I2" s="6" t="n"/>
      <c r="J2" s="6" t="n"/>
      <c r="K2" s="6" t="n"/>
      <c r="L2" s="6" t="n"/>
    </row>
    <row r="3">
      <c r="A3" s="7" t="n"/>
      <c r="B3" s="6" t="n"/>
      <c r="C3" s="6" t="n"/>
      <c r="D3" s="6" t="n"/>
      <c r="E3" s="6" t="n"/>
      <c r="F3" s="8" t="n"/>
      <c r="G3" s="9">
        <f>IF(AND(ISNUMBER(E3),E3&gt;0,ISNUMBER(F3)),F3/E3,"")</f>
        <v/>
      </c>
      <c r="H3" s="6" t="n"/>
      <c r="I3" s="6" t="n"/>
      <c r="J3" s="6" t="n"/>
      <c r="K3" s="6" t="n"/>
      <c r="L3" s="6" t="n"/>
    </row>
    <row r="4">
      <c r="A4" s="7" t="n"/>
      <c r="B4" s="6" t="n"/>
      <c r="C4" s="6" t="n"/>
      <c r="D4" s="6" t="n"/>
      <c r="E4" s="6" t="n"/>
      <c r="F4" s="8" t="n"/>
      <c r="G4" s="9">
        <f>IF(AND(ISNUMBER(E4),E4&gt;0,ISNUMBER(F4)),F4/E4,"")</f>
        <v/>
      </c>
      <c r="H4" s="6" t="n"/>
      <c r="I4" s="6" t="n"/>
      <c r="J4" s="6" t="n"/>
      <c r="K4" s="6" t="n"/>
      <c r="L4" s="6" t="n"/>
    </row>
    <row r="5">
      <c r="A5" s="7" t="n"/>
      <c r="B5" s="6" t="n"/>
      <c r="C5" s="6" t="n"/>
      <c r="D5" s="6" t="n"/>
      <c r="E5" s="6" t="n"/>
      <c r="F5" s="8" t="n"/>
      <c r="G5" s="9">
        <f>IF(AND(ISNUMBER(E5),E5&gt;0,ISNUMBER(F5)),F5/E5,"")</f>
        <v/>
      </c>
      <c r="H5" s="6" t="n"/>
      <c r="I5" s="6" t="n"/>
      <c r="J5" s="6" t="n"/>
      <c r="K5" s="6" t="n"/>
      <c r="L5" s="6" t="n"/>
    </row>
    <row r="6">
      <c r="A6" s="7" t="n"/>
      <c r="B6" s="6" t="n"/>
      <c r="C6" s="6" t="n"/>
      <c r="D6" s="6" t="n"/>
      <c r="E6" s="6" t="n"/>
      <c r="F6" s="8" t="n"/>
      <c r="G6" s="9">
        <f>IF(AND(ISNUMBER(E6),E6&gt;0,ISNUMBER(F6)),F6/E6,"")</f>
        <v/>
      </c>
      <c r="H6" s="6" t="n"/>
      <c r="I6" s="6" t="n"/>
      <c r="J6" s="6" t="n"/>
      <c r="K6" s="6" t="n"/>
      <c r="L6" s="6" t="n"/>
    </row>
    <row r="7">
      <c r="A7" s="7" t="n"/>
      <c r="B7" s="6" t="n"/>
      <c r="C7" s="6" t="n"/>
      <c r="D7" s="6" t="n"/>
      <c r="E7" s="6" t="n"/>
      <c r="F7" s="8" t="n"/>
      <c r="G7" s="9">
        <f>IF(AND(ISNUMBER(E7),E7&gt;0,ISNUMBER(F7)),F7/E7,"")</f>
        <v/>
      </c>
      <c r="H7" s="6" t="n"/>
      <c r="I7" s="6" t="n"/>
      <c r="J7" s="6" t="n"/>
      <c r="K7" s="6" t="n"/>
      <c r="L7" s="6" t="n"/>
    </row>
    <row r="8">
      <c r="A8" s="7" t="n"/>
      <c r="B8" s="6" t="n"/>
      <c r="C8" s="6" t="n"/>
      <c r="D8" s="6" t="n"/>
      <c r="E8" s="6" t="n"/>
      <c r="F8" s="8" t="n"/>
      <c r="G8" s="9">
        <f>IF(AND(ISNUMBER(E8),E8&gt;0,ISNUMBER(F8)),F8/E8,"")</f>
        <v/>
      </c>
      <c r="H8" s="6" t="n"/>
      <c r="I8" s="6" t="n"/>
      <c r="J8" s="6" t="n"/>
      <c r="K8" s="6" t="n"/>
      <c r="L8" s="6" t="n"/>
    </row>
    <row r="9">
      <c r="A9" s="7" t="n"/>
      <c r="B9" s="6" t="n"/>
      <c r="C9" s="6" t="n"/>
      <c r="D9" s="6" t="n"/>
      <c r="E9" s="6" t="n"/>
      <c r="F9" s="8" t="n"/>
      <c r="G9" s="9">
        <f>IF(AND(ISNUMBER(E9),E9&gt;0,ISNUMBER(F9)),F9/E9,"")</f>
        <v/>
      </c>
      <c r="H9" s="6" t="n"/>
      <c r="I9" s="6" t="n"/>
      <c r="J9" s="6" t="n"/>
      <c r="K9" s="6" t="n"/>
      <c r="L9" s="6" t="n"/>
    </row>
    <row r="10">
      <c r="A10" s="7" t="n"/>
      <c r="B10" s="6" t="n"/>
      <c r="C10" s="6" t="n"/>
      <c r="D10" s="6" t="n"/>
      <c r="E10" s="6" t="n"/>
      <c r="F10" s="8" t="n"/>
      <c r="G10" s="9">
        <f>IF(AND(ISNUMBER(E10),E10&gt;0,ISNUMBER(F10)),F10/E10,"")</f>
        <v/>
      </c>
      <c r="H10" s="6" t="n"/>
      <c r="I10" s="6" t="n"/>
      <c r="J10" s="6" t="n"/>
      <c r="K10" s="6" t="n"/>
      <c r="L10" s="6" t="n"/>
    </row>
    <row r="11">
      <c r="A11" s="7" t="n"/>
      <c r="B11" s="6" t="n"/>
      <c r="C11" s="6" t="n"/>
      <c r="D11" s="6" t="n"/>
      <c r="E11" s="6" t="n"/>
      <c r="F11" s="8" t="n"/>
      <c r="G11" s="9">
        <f>IF(AND(ISNUMBER(E11),E11&gt;0,ISNUMBER(F11)),F11/E11,"")</f>
        <v/>
      </c>
      <c r="H11" s="6" t="n"/>
      <c r="I11" s="6" t="n"/>
      <c r="J11" s="6" t="n"/>
      <c r="K11" s="6" t="n"/>
      <c r="L11" s="6" t="n"/>
    </row>
    <row r="12">
      <c r="A12" s="7" t="n"/>
      <c r="B12" s="6" t="n"/>
      <c r="C12" s="6" t="n"/>
      <c r="D12" s="6" t="n"/>
      <c r="E12" s="6" t="n"/>
      <c r="F12" s="8" t="n"/>
      <c r="G12" s="9">
        <f>IF(AND(ISNUMBER(E12),E12&gt;0,ISNUMBER(F12)),F12/E12,"")</f>
        <v/>
      </c>
      <c r="H12" s="6" t="n"/>
      <c r="I12" s="6" t="n"/>
      <c r="J12" s="6" t="n"/>
      <c r="K12" s="6" t="n"/>
      <c r="L12" s="6" t="n"/>
    </row>
    <row r="13">
      <c r="A13" s="7" t="n"/>
      <c r="B13" s="6" t="n"/>
      <c r="C13" s="6" t="n"/>
      <c r="D13" s="6" t="n"/>
      <c r="E13" s="6" t="n"/>
      <c r="F13" s="8" t="n"/>
      <c r="G13" s="9">
        <f>IF(AND(ISNUMBER(E13),E13&gt;0,ISNUMBER(F13)),F13/E13,"")</f>
        <v/>
      </c>
      <c r="H13" s="6" t="n"/>
      <c r="I13" s="6" t="n"/>
      <c r="J13" s="6" t="n"/>
      <c r="K13" s="6" t="n"/>
      <c r="L13" s="6" t="n"/>
    </row>
    <row r="14">
      <c r="A14" s="7" t="n"/>
      <c r="B14" s="6" t="n"/>
      <c r="C14" s="6" t="n"/>
      <c r="D14" s="6" t="n"/>
      <c r="E14" s="6" t="n"/>
      <c r="F14" s="8" t="n"/>
      <c r="G14" s="9">
        <f>IF(AND(ISNUMBER(E14),E14&gt;0,ISNUMBER(F14)),F14/E14,"")</f>
        <v/>
      </c>
      <c r="H14" s="6" t="n"/>
      <c r="I14" s="6" t="n"/>
      <c r="J14" s="6" t="n"/>
      <c r="K14" s="6" t="n"/>
      <c r="L14" s="6" t="n"/>
    </row>
    <row r="15">
      <c r="A15" s="7" t="n"/>
      <c r="B15" s="6" t="n"/>
      <c r="C15" s="6" t="n"/>
      <c r="D15" s="6" t="n"/>
      <c r="E15" s="6" t="n"/>
      <c r="F15" s="8" t="n"/>
      <c r="G15" s="9">
        <f>IF(AND(ISNUMBER(E15),E15&gt;0,ISNUMBER(F15)),F15/E15,"")</f>
        <v/>
      </c>
      <c r="H15" s="6" t="n"/>
      <c r="I15" s="6" t="n"/>
      <c r="J15" s="6" t="n"/>
      <c r="K15" s="6" t="n"/>
      <c r="L15" s="6" t="n"/>
    </row>
    <row r="16">
      <c r="A16" s="7" t="n"/>
      <c r="B16" s="6" t="n"/>
      <c r="C16" s="6" t="n"/>
      <c r="D16" s="6" t="n"/>
      <c r="E16" s="6" t="n"/>
      <c r="F16" s="8" t="n"/>
      <c r="G16" s="9">
        <f>IF(AND(ISNUMBER(E16),E16&gt;0,ISNUMBER(F16)),F16/E16,"")</f>
        <v/>
      </c>
      <c r="H16" s="6" t="n"/>
      <c r="I16" s="6" t="n"/>
      <c r="J16" s="6" t="n"/>
      <c r="K16" s="6" t="n"/>
      <c r="L16" s="6" t="n"/>
    </row>
  </sheetData>
  <dataValidations count="1">
    <dataValidation sqref="I2:I16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0" t="inlineStr">
        <is>
          <t>Simulação de custo por procedimento</t>
        </is>
      </c>
      <c r="B1" s="11" t="n"/>
    </row>
    <row r="2">
      <c r="A2" s="11" t="n"/>
      <c r="B2" s="11" t="n"/>
    </row>
    <row r="3">
      <c r="A3" s="12" t="inlineStr">
        <is>
          <t>Preço por mL do produto (R$)</t>
        </is>
      </c>
      <c r="B3" s="9">
        <f>'Orçamentos'!G2</f>
        <v/>
      </c>
    </row>
    <row r="4">
      <c r="A4" s="12" t="inlineStr">
        <is>
          <t>mL utilizados no procedimento</t>
        </is>
      </c>
      <c r="B4" s="13" t="n"/>
    </row>
    <row r="5">
      <c r="A5" s="12" t="inlineStr">
        <is>
          <t>Custo do produto (R$)</t>
        </is>
      </c>
      <c r="B5" s="9">
        <f>IF(AND(ISNUMBER(B3),ISNUMBER(B4)),B3*B4,"")</f>
        <v/>
      </c>
    </row>
    <row r="6">
      <c r="A6" s="12" t="inlineStr">
        <is>
          <t>Descartáveis, anestésico tópico, EPI (R$)</t>
        </is>
      </c>
      <c r="B6" s="8" t="n"/>
    </row>
    <row r="7">
      <c r="A7" s="12" t="inlineStr">
        <is>
          <t>Custo direto total (R$)</t>
        </is>
      </c>
      <c r="B7" s="9">
        <f>IF(ISNUMBER(B5),B5+N(B6),"")</f>
        <v/>
      </c>
    </row>
    <row r="8">
      <c r="A8" s="12" t="inlineStr">
        <is>
          <t>Preço cobrado do paciente (R$)</t>
        </is>
      </c>
      <c r="B8" s="8" t="n"/>
    </row>
    <row r="9">
      <c r="A9" s="12" t="inlineStr">
        <is>
          <t>Margem bruta (R$)</t>
        </is>
      </c>
      <c r="B9" s="9">
        <f>IF(AND(ISNUMBER(B7),ISNUMBER(B8)),B8-B7,"")</f>
        <v/>
      </c>
    </row>
    <row r="10">
      <c r="A10" s="12" t="inlineStr">
        <is>
          <t>Margem bruta (%)</t>
        </is>
      </c>
      <c r="B10" s="14">
        <f>IF(AND(ISNUMBER(B9),ISNUMBER(B8),B8&gt;0),B9/B8,"")</f>
        <v/>
      </c>
    </row>
    <row r="11">
      <c r="A11" s="11" t="n"/>
      <c r="B11" s="11" t="n"/>
    </row>
    <row r="12">
      <c r="A12" s="11" t="inlineStr">
        <is>
          <t>Custo = produto + descartáveis. Inclua também tempo, aluguel, impostos e seguro na formação do preço final.</t>
        </is>
      </c>
      <c r="B1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Critério</t>
        </is>
      </c>
      <c r="B1" s="4" t="inlineStr">
        <is>
          <t>Peso (soma = 100)</t>
        </is>
      </c>
      <c r="C1" s="4" t="inlineStr">
        <is>
          <t>Produto A</t>
        </is>
      </c>
      <c r="D1" s="4" t="inlineStr">
        <is>
          <t>Produto B</t>
        </is>
      </c>
      <c r="E1" s="4" t="inlineStr">
        <is>
          <t>Produto C</t>
        </is>
      </c>
      <c r="F1" s="4" t="inlineStr">
        <is>
          <t>Produto D</t>
        </is>
      </c>
    </row>
    <row r="2">
      <c r="A2" s="5" t="inlineStr">
        <is>
          <t>Evidência clínica publicada</t>
        </is>
      </c>
      <c r="B2" s="6" t="n">
        <v>25</v>
      </c>
      <c r="C2" s="6" t="n"/>
      <c r="D2" s="6" t="n"/>
      <c r="E2" s="6" t="n"/>
      <c r="F2" s="6" t="n"/>
    </row>
    <row r="3">
      <c r="A3" s="5" t="inlineStr">
        <is>
          <t>Segurança / eventos adversos</t>
        </is>
      </c>
      <c r="B3" s="6" t="n">
        <v>25</v>
      </c>
      <c r="C3" s="6" t="n"/>
      <c r="D3" s="6" t="n"/>
      <c r="E3" s="6" t="n"/>
      <c r="F3" s="6" t="n"/>
    </row>
    <row r="4">
      <c r="A4" s="5" t="inlineStr">
        <is>
          <t>Duração informada</t>
        </is>
      </c>
      <c r="B4" s="6" t="n">
        <v>15</v>
      </c>
      <c r="C4" s="6" t="n"/>
      <c r="D4" s="6" t="n"/>
      <c r="E4" s="6" t="n"/>
      <c r="F4" s="6" t="n"/>
    </row>
    <row r="5">
      <c r="A5" s="5" t="inlineStr">
        <is>
          <t>Custo por mL (nota maior = mais barato)</t>
        </is>
      </c>
      <c r="B5" s="6" t="n">
        <v>15</v>
      </c>
      <c r="C5" s="6" t="n"/>
      <c r="D5" s="6" t="n"/>
      <c r="E5" s="6" t="n"/>
      <c r="F5" s="6" t="n"/>
    </row>
    <row r="6">
      <c r="A6" s="5" t="inlineStr">
        <is>
          <t>Suporte técnico e treinamento</t>
        </is>
      </c>
      <c r="B6" s="6" t="n">
        <v>10</v>
      </c>
      <c r="C6" s="6" t="n"/>
      <c r="D6" s="6" t="n"/>
      <c r="E6" s="6" t="n"/>
      <c r="F6" s="6" t="n"/>
    </row>
    <row r="7">
      <c r="A7" s="5" t="inlineStr">
        <is>
          <t>Disponibilidade e logística</t>
        </is>
      </c>
      <c r="B7" s="6" t="n">
        <v>10</v>
      </c>
      <c r="C7" s="6" t="n"/>
      <c r="D7" s="6" t="n"/>
      <c r="E7" s="6" t="n"/>
      <c r="F7" s="6" t="n"/>
    </row>
    <row r="8">
      <c r="A8" s="15" t="inlineStr">
        <is>
          <t>Soma dos pesos</t>
        </is>
      </c>
      <c r="B8" s="11">
        <f>SUM(B2:B7)</f>
        <v/>
      </c>
      <c r="C8" s="11" t="n"/>
      <c r="D8" s="11" t="n"/>
      <c r="E8" s="11" t="n"/>
      <c r="F8" s="11" t="n"/>
    </row>
    <row r="9">
      <c r="A9" s="15" t="inlineStr">
        <is>
          <t>Pontuação final (0 a 5)</t>
        </is>
      </c>
      <c r="B9" s="11" t="n"/>
      <c r="C9" s="16">
        <f>IF(B8=0,"",SUMPRODUCT($B$2:$B$7,C2:C7)/B8)</f>
        <v/>
      </c>
      <c r="D9" s="16">
        <f>IF(B8=0,"",SUMPRODUCT($B$2:$B$7,D2:D7)/B8)</f>
        <v/>
      </c>
      <c r="E9" s="16">
        <f>IF(B8=0,"",SUMPRODUCT($B$2:$B$7,E2:E7)/B8)</f>
        <v/>
      </c>
      <c r="F9" s="16">
        <f>IF(B8=0,"",SUMPRODUCT($B$2:$B$7,F2:F7)/B8)</f>
        <v/>
      </c>
    </row>
    <row r="10">
      <c r="A10" s="15" t="inlineStr">
        <is>
          <t>Posição (1 = melhor)</t>
        </is>
      </c>
      <c r="B10" s="11" t="n"/>
      <c r="C10" s="11">
        <f>IF(C9="","",RANK(C9,$C$9:$F$9))</f>
        <v/>
      </c>
      <c r="D10" s="11">
        <f>IF(D9="","",RANK(D9,$C$9:$F$9))</f>
        <v/>
      </c>
      <c r="E10" s="11">
        <f>IF(E9="","",RANK(E9,$C$9:$F$9))</f>
        <v/>
      </c>
      <c r="F10" s="11">
        <f>IF(F9="","",RANK(F9,$C$9:$F$9))</f>
        <v/>
      </c>
    </row>
    <row r="11">
      <c r="A11" s="11" t="n"/>
      <c r="B11" s="11" t="n"/>
      <c r="C11" s="11" t="n"/>
      <c r="D11" s="11" t="n"/>
      <c r="E11" s="11" t="n"/>
      <c r="F11" s="11" t="n"/>
    </row>
    <row r="12">
      <c r="A12" s="11" t="inlineStr">
        <is>
          <t>Notas de 0 a 5. Preencha os nomes dos produtos na linha 1. Sugestão: nota de evidência baseada na aba Produtos (confiança).</t>
        </is>
      </c>
      <c r="B12" s="11" t="n"/>
      <c r="C12" s="11" t="n"/>
      <c r="D12" s="11" t="n"/>
      <c r="E12" s="11" t="n"/>
      <c r="F12" s="11" t="n"/>
    </row>
  </sheetData>
  <conditionalFormatting sqref="B8">
    <cfRule type="cellIs" priority="1" operator="notEqual" dxfId="0">
      <formula>100</formula>
    </cfRule>
  </conditionalFormatting>
  <dataValidations count="1">
    <dataValidation sqref="C2:F7" showDropDown="0" showInputMessage="0" showErrorMessage="0" allowBlank="1" type="decimal" operator="between">
      <formula1>0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Item de verificação</t>
        </is>
      </c>
      <c r="B1" s="4" t="inlineStr">
        <is>
          <t>Como verificar</t>
        </is>
      </c>
      <c r="C1" s="4" t="inlineStr">
        <is>
          <t>Fornecedor 1</t>
        </is>
      </c>
      <c r="D1" s="4" t="inlineStr">
        <is>
          <t>Fornecedor 2</t>
        </is>
      </c>
      <c r="E1" s="4" t="inlineStr">
        <is>
          <t>Fornecedor 3</t>
        </is>
      </c>
    </row>
    <row r="2">
      <c r="A2" s="5" t="inlineStr">
        <is>
          <t>Empresa com AFE/ANVISA e licença sanitária</t>
        </is>
      </c>
      <c r="B2" s="5" t="inlineStr">
        <is>
          <t>Consultar a base da ANVISA (CNPJ) e solicitar cópias</t>
        </is>
      </c>
      <c r="C2" s="6" t="inlineStr"/>
      <c r="D2" s="6" t="inlineStr"/>
      <c r="E2" s="6" t="inlineStr"/>
    </row>
    <row r="3">
      <c r="A3" s="5" t="inlineStr">
        <is>
          <t>Produto com registro/notificação vigente</t>
        </is>
      </c>
      <c r="B3" s="5" t="inlineStr">
        <is>
          <t>Conferir número no sistema de produtos para saúde da ANVISA</t>
        </is>
      </c>
      <c r="C3" s="6" t="inlineStr"/>
      <c r="D3" s="6" t="inlineStr"/>
      <c r="E3" s="6" t="inlineStr"/>
    </row>
    <row r="4">
      <c r="A4" s="5" t="inlineStr">
        <is>
          <t>Nota fiscal com lote e validade</t>
        </is>
      </c>
      <c r="B4" s="5" t="inlineStr">
        <is>
          <t>Exigir NF e rastreabilidade por lote</t>
        </is>
      </c>
      <c r="C4" s="6" t="inlineStr"/>
      <c r="D4" s="6" t="inlineStr"/>
      <c r="E4" s="6" t="inlineStr"/>
    </row>
    <row r="5">
      <c r="A5" s="5" t="inlineStr">
        <is>
          <t>Cadeia de armazenamento e transporte</t>
        </is>
      </c>
      <c r="B5" s="5" t="inlineStr">
        <is>
          <t>Perguntar temperatura e embalagem de envio</t>
        </is>
      </c>
      <c r="C5" s="6" t="inlineStr"/>
      <c r="D5" s="6" t="inlineStr"/>
      <c r="E5" s="6" t="inlineStr"/>
    </row>
    <row r="6">
      <c r="A6" s="5" t="inlineStr">
        <is>
          <t>Embalagem lacrada, selo/rótulo em português</t>
        </is>
      </c>
      <c r="B6" s="5" t="inlineStr">
        <is>
          <t>Inspecionar no recebimento</t>
        </is>
      </c>
      <c r="C6" s="6" t="inlineStr"/>
      <c r="D6" s="6" t="inlineStr"/>
      <c r="E6" s="6" t="inlineStr"/>
    </row>
    <row r="7">
      <c r="A7" s="5" t="inlineStr">
        <is>
          <t>Política de troca e farmacovigilância</t>
        </is>
      </c>
      <c r="B7" s="5" t="inlineStr">
        <is>
          <t>Solicitar contato técnico e procedimento de notificação</t>
        </is>
      </c>
      <c r="C7" s="6" t="inlineStr"/>
      <c r="D7" s="6" t="inlineStr"/>
      <c r="E7" s="6" t="inlineStr"/>
    </row>
    <row r="8">
      <c r="A8" s="5" t="inlineStr">
        <is>
          <t>Treinamento e suporte do fabricante</t>
        </is>
      </c>
      <c r="B8" s="5" t="inlineStr">
        <is>
          <t>Perguntar sobre cursos e suporte</t>
        </is>
      </c>
      <c r="C8" s="6" t="inlineStr"/>
      <c r="D8" s="6" t="inlineStr"/>
      <c r="E8" s="6" t="inlineStr"/>
    </row>
    <row r="9">
      <c r="A9" s="5" t="inlineStr">
        <is>
          <t>Preço abaixo do mercado sem justificativa?</t>
        </is>
      </c>
      <c r="B9" s="5" t="inlineStr">
        <is>
          <t>Sinal de alerta de falsificação/contrabando</t>
        </is>
      </c>
      <c r="C9" s="6" t="inlineStr"/>
      <c r="D9" s="6" t="inlineStr"/>
      <c r="E9" s="6" t="inlineStr"/>
    </row>
  </sheetData>
  <dataValidations count="1">
    <dataValidation sqref="C2:E9" showDropDown="0" showInputMessage="0" showErrorMessage="0" allowBlank="1" type="list">
      <formula1>"Sim,Não,Verificar"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50" customWidth="1" min="3" max="3"/>
    <col width="36" customWidth="1" min="4" max="4"/>
    <col width="12" customWidth="1" min="5" max="5"/>
    <col width="70" customWidth="1" min="6" max="6"/>
  </cols>
  <sheetData>
    <row r="1">
      <c r="A1" s="4" t="inlineStr">
        <is>
          <t>Estudo / fonte</t>
        </is>
      </c>
      <c r="B1" s="4" t="inlineStr">
        <is>
          <t>Comparação</t>
        </is>
      </c>
      <c r="C1" s="4" t="inlineStr">
        <is>
          <t>Resultado resumido</t>
        </is>
      </c>
      <c r="D1" s="4" t="inlineStr">
        <is>
          <t>Limitações</t>
        </is>
      </c>
      <c r="E1" s="4" t="inlineStr">
        <is>
          <t>Confiança</t>
        </is>
      </c>
      <c r="F1" s="4" t="inlineStr">
        <is>
          <t>Link</t>
        </is>
      </c>
    </row>
    <row r="2">
      <c r="A2" s="5" t="inlineStr">
        <is>
          <t>Split-face bochecha, 2 anos</t>
        </is>
      </c>
      <c r="B2" s="5" t="inlineStr">
        <is>
          <t>Belotero Volume vs Juvéderm Voluma (e bifásicos Yvoire Contour, Restylane SubQ)</t>
        </is>
      </c>
      <c r="C2" s="5" t="inlineStr">
        <is>
          <t>Volume mantido ≥2 anos: 81% (Belotero Volume), 66% (Voluma); bifásicos &gt;50%</t>
        </is>
      </c>
      <c r="D2" s="5" t="inlineStr">
        <is>
          <t>Amostra pequena; poucos dados objetivos de longo prazo</t>
        </is>
      </c>
      <c r="E2" s="5" t="inlineStr">
        <is>
          <t>Moderada</t>
        </is>
      </c>
      <c r="F2" s="5" t="inlineStr">
        <is>
          <t>https://www.medestheticsmag.com/research/injectables/news/22223209/ha-fillers-last-more-than-two-years-in-midface</t>
        </is>
      </c>
    </row>
    <row r="3">
      <c r="A3" s="5" t="inlineStr">
        <is>
          <t>Restylane x Juvéderm (apresentação)</t>
        </is>
      </c>
      <c r="B3" s="5" t="inlineStr">
        <is>
          <t>Split-face, 10 pacientes</t>
        </is>
      </c>
      <c r="C3" s="5" t="inlineStr">
        <is>
          <t>Durabilidade comparável (~6–7 meses)</t>
        </is>
      </c>
      <c r="D3" s="5" t="inlineStr">
        <is>
          <t>Amostra muito pequena; congresso</t>
        </is>
      </c>
      <c r="E3" s="5" t="inlineStr">
        <is>
          <t>Baixa</t>
        </is>
      </c>
      <c r="F3" s="5" t="inlineStr">
        <is>
          <t>https://mdedge.com/content/restylane-versus-juvederm-bout-ends-draw</t>
        </is>
      </c>
    </row>
    <row r="4">
      <c r="A4" s="5" t="inlineStr">
        <is>
          <t>RHA 3 x Restylane-L (lábios) / RHA x Juvéderm (sulcos)</t>
        </is>
      </c>
      <c r="B4" s="5" t="inlineStr">
        <is>
          <t>Ensaio randomizado</t>
        </is>
      </c>
      <c r="C4" s="5" t="inlineStr">
        <is>
          <t>RHA 2 e 3 não inferiores ao Juvéderm em sulcos nasolabiais</t>
        </is>
      </c>
      <c r="D4" s="5" t="inlineStr">
        <is>
          <t>Trecho obtido sem dados de duração</t>
        </is>
      </c>
      <c r="E4" s="5" t="inlineStr">
        <is>
          <t>Moderada</t>
        </is>
      </c>
      <c r="F4" s="5" t="inlineStr">
        <is>
          <t>https://cdn.clinicaltrials.gov/large-docs/13/NCT04540913/Prot_004.pdf</t>
        </is>
      </c>
    </row>
    <row r="5">
      <c r="A5" s="5" t="inlineStr">
        <is>
          <t>Revisão de ensaios do Belotero Balance</t>
        </is>
      </c>
      <c r="B5" s="5" t="inlineStr">
        <is>
          <t>3 RCTs vs colágeno e vs Restylane</t>
        </is>
      </c>
      <c r="C5" s="5" t="inlineStr">
        <is>
          <t>Maior redução de gravidade de sulcos nasolabiais até 24 semanas; segurança semelhante</t>
        </is>
      </c>
      <c r="D5" s="5" t="inlineStr">
        <is>
          <t>Revisão de ensaios patrocinados</t>
        </is>
      </c>
      <c r="E5" s="5" t="inlineStr">
        <is>
          <t>Moderada</t>
        </is>
      </c>
      <c r="F5" s="5" t="inlineStr">
        <is>
          <t>https://pubmed.ncbi.nlm.nih.gov/24077008/</t>
        </is>
      </c>
    </row>
    <row r="6">
      <c r="A6" s="5" t="inlineStr">
        <is>
          <t>Guia RGO (marcas vendidas no Brasil)</t>
        </is>
      </c>
      <c r="B6" s="5" t="inlineStr">
        <is>
          <t>Descritivo</t>
        </is>
      </c>
      <c r="C6" s="5" t="inlineStr">
        <is>
          <t>Lista de marcas e durações citadas (Voluma até 24 m; Restylane 6–18 m; Belotero 6–18 m)</t>
        </is>
      </c>
      <c r="D6" s="5" t="inlineStr">
        <is>
          <t>Fonte comercial; sem estudo</t>
        </is>
      </c>
      <c r="E6" s="5" t="inlineStr">
        <is>
          <t>Baixa</t>
        </is>
      </c>
      <c r="F6" s="5" t="inlineStr">
        <is>
          <t>https://www.rgo.com.br/marcas-de-acido-hialuronico-para-preenchimento-vendidas-no-brasil-um-guia/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2026-10-09T22:42:57Z</dcterms:created>
  <dcterms:modified xmlns:dcterms="http://purl.org/dc/terms/" xmlns:xsi="http://www.w3.org/2001/XMLSchema-instance" xsi:type="dcterms:W3CDTF">2026-10-09T22:42:57Z</dcterms:modified>
</cp:coreProperties>
</file>